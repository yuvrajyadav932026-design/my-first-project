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A06278ED-E03C-4B01-9053-722889C7F1A3}" xr6:coauthVersionLast="47" xr6:coauthVersionMax="47" xr10:uidLastSave="{00000000-0000-0000-0000-000000000000}"/>
  <bookViews>
    <workbookView xWindow="-120" yWindow="-120" windowWidth="24240" windowHeight="13020" activeTab="2" xr2:uid="{3B3C2C1A-62E3-4E49-B1E5-1C689F7EE66A}"/>
  </bookViews>
  <sheets>
    <sheet name="Product Master " sheetId="1" r:id="rId1"/>
    <sheet name="Inventory" sheetId="2" r:id="rId2"/>
    <sheet name="Conditional Formatting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" i="2" l="1"/>
  <c r="M21" i="2"/>
  <c r="M22" i="2"/>
  <c r="M23" i="2"/>
  <c r="M19" i="2"/>
  <c r="L20" i="2"/>
  <c r="L21" i="2"/>
  <c r="L22" i="2"/>
  <c r="L23" i="2"/>
  <c r="L19" i="2"/>
  <c r="K19" i="2"/>
  <c r="D56" i="2" a="1"/>
  <c r="D57" i="2" a="1"/>
  <c r="D58" i="2" a="1"/>
  <c r="D59" i="2" a="1"/>
  <c r="D55" i="2" a="1"/>
  <c r="J19" i="2" a="1"/>
  <c r="K20" i="2"/>
  <c r="K21" i="2"/>
  <c r="K22" i="2"/>
  <c r="K23" i="2"/>
  <c r="G56" i="2"/>
  <c r="G57" i="2"/>
  <c r="G58" i="2"/>
  <c r="G59" i="2"/>
  <c r="G55" i="2"/>
  <c r="F55" i="2"/>
  <c r="F56" i="2"/>
  <c r="F57" i="2"/>
  <c r="F58" i="2"/>
  <c r="F59" i="2"/>
  <c r="J22" i="2" a="1"/>
  <c r="J20" i="2" a="1"/>
  <c r="J21" i="2" a="1"/>
  <c r="J23" i="2" a="1"/>
  <c r="H20" i="2"/>
  <c r="H21" i="2"/>
  <c r="H22" i="2"/>
  <c r="H23" i="2"/>
  <c r="H19" i="2"/>
  <c r="D20" i="2"/>
  <c r="I20" i="2" s="1"/>
  <c r="D21" i="2"/>
  <c r="I21" i="2" s="1"/>
  <c r="D22" i="2"/>
  <c r="I22" i="2" s="1"/>
  <c r="D23" i="2"/>
  <c r="I23" i="2" s="1"/>
  <c r="D19" i="2"/>
  <c r="I19" i="2" s="1"/>
  <c r="C20" i="2"/>
  <c r="C21" i="2"/>
  <c r="C22" i="2"/>
  <c r="C23" i="2"/>
  <c r="C19" i="2"/>
  <c r="B20" i="2"/>
  <c r="B21" i="2"/>
  <c r="B22" i="2"/>
  <c r="B23" i="2"/>
  <c r="B1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<sst xmlns="http://schemas.openxmlformats.org/spreadsheetml/2006/main" count="141" uniqueCount="68">
  <si>
    <t>Product ID</t>
  </si>
  <si>
    <t>Product Name</t>
  </si>
  <si>
    <t>Category</t>
  </si>
  <si>
    <t>Unit Price</t>
  </si>
  <si>
    <t>P001</t>
  </si>
  <si>
    <t>Shade Net</t>
  </si>
  <si>
    <t>Net</t>
  </si>
  <si>
    <t>P002</t>
  </si>
  <si>
    <t>Bird Net</t>
  </si>
  <si>
    <t>P003</t>
  </si>
  <si>
    <t>Mulch Film</t>
  </si>
  <si>
    <t>Film</t>
  </si>
  <si>
    <t>P004</t>
  </si>
  <si>
    <t>Greenhouse Film</t>
  </si>
  <si>
    <t>P005</t>
  </si>
  <si>
    <t>Insect Net</t>
  </si>
  <si>
    <t>P006</t>
  </si>
  <si>
    <t>HDPE Rope</t>
  </si>
  <si>
    <t>Accessories</t>
  </si>
  <si>
    <t>P007</t>
  </si>
  <si>
    <t>Shade Cloth</t>
  </si>
  <si>
    <t>P008</t>
  </si>
  <si>
    <t>Plastic Clips</t>
  </si>
  <si>
    <t>P009</t>
  </si>
  <si>
    <t>Green Net</t>
  </si>
  <si>
    <t>P010</t>
  </si>
  <si>
    <t>Nylon Rope</t>
  </si>
  <si>
    <t>Opening Stock</t>
  </si>
  <si>
    <t>Received</t>
  </si>
  <si>
    <t>Sold</t>
  </si>
  <si>
    <t>Closing Stock</t>
  </si>
  <si>
    <t>Stock Value</t>
  </si>
  <si>
    <t>Status</t>
  </si>
  <si>
    <t>ing Stock</t>
  </si>
  <si>
    <t>≥100</t>
  </si>
  <si>
    <t>Good Stock</t>
  </si>
  <si>
    <t>50–99</t>
  </si>
  <si>
    <t>Normal Stock</t>
  </si>
  <si>
    <t>1–49</t>
  </si>
  <si>
    <t>Low Stock</t>
  </si>
  <si>
    <t>Out of Stock</t>
  </si>
  <si>
    <t xml:space="preserve">Inventory Management System </t>
  </si>
  <si>
    <t>🏢 Story (Think Like a Company)</t>
  </si>
  <si>
    <r>
      <t xml:space="preserve">Imagine you get a job as an </t>
    </r>
    <r>
      <rPr>
        <b/>
        <sz val="11"/>
        <color theme="1"/>
        <rFont val="Calibri"/>
        <family val="2"/>
        <scheme val="minor"/>
      </rPr>
      <t>Inventory Executive</t>
    </r>
    <r>
      <rPr>
        <sz val="11"/>
        <color theme="1"/>
        <rFont val="Calibri"/>
        <family val="2"/>
        <scheme val="minor"/>
      </rPr>
      <t>.</t>
    </r>
  </si>
  <si>
    <t>Your manager says:</t>
  </si>
  <si>
    <t>"Yuvraj, every day products come into the warehouse and products go out. I don't want to calculate stock manually. Build an Excel file that automatically tells me:</t>
  </si>
  <si>
    <t>Price</t>
  </si>
  <si>
    <t>Current Stock</t>
  </si>
  <si>
    <t>Total Stock Value</t>
  </si>
  <si>
    <t>Whether we need to order more stock."</t>
  </si>
  <si>
    <t>This is your task.</t>
  </si>
  <si>
    <t>🏢 Company Story</t>
  </si>
  <si>
    <r>
      <t xml:space="preserve">Imagine you work at </t>
    </r>
    <r>
      <rPr>
        <b/>
        <sz val="11"/>
        <color theme="1"/>
        <rFont val="Calibri"/>
        <family val="2"/>
        <scheme val="minor"/>
      </rPr>
      <t>B.M. International</t>
    </r>
    <r>
      <rPr>
        <sz val="11"/>
        <color theme="1"/>
        <rFont val="Calibri"/>
        <family val="2"/>
        <scheme val="minor"/>
      </rPr>
      <t>.</t>
    </r>
  </si>
  <si>
    <t>Your warehouse has 10 products.</t>
  </si>
  <si>
    <t>Your manager asks:</t>
  </si>
  <si>
    <t>"Yuvraj, I don't want to check every product every day. Tell me automatically:</t>
  </si>
  <si>
    <t>Which product is running out?</t>
  </si>
  <si>
    <t>How many pieces should we order?</t>
  </si>
  <si>
    <t>Which products are safe?"</t>
  </si>
  <si>
    <t>Reorder Level</t>
  </si>
  <si>
    <t>Reorder Required</t>
  </si>
  <si>
    <t>Reorder Quantity</t>
  </si>
  <si>
    <t>Total Product</t>
  </si>
  <si>
    <t>Total Closing Stock</t>
  </si>
  <si>
    <t>Total Inventory Value</t>
  </si>
  <si>
    <t>Conditional Formatting</t>
  </si>
  <si>
    <t>Stock OK</t>
  </si>
  <si>
    <t>Order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</si>
</sst>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6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6">
    <dxf>
      <font>
        <u/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ill>
        <gradientFill degree="90">
          <stop position="0">
            <color theme="1"/>
          </stop>
          <stop position="1">
            <color theme="0"/>
          </stop>
        </gradient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1"/>
          </stop>
          <stop position="1">
            <color theme="0"/>
          </stop>
        </gradient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C433-F111-495E-9EC8-5F27BEC5A22E}">
  <dimension ref="A2:D35"/>
  <sheetViews>
    <sheetView workbookViewId="0">
      <selection activeCell="A2" sqref="A2"/>
    </sheetView>
  </sheetViews>
  <sheetFormatPr defaultRowHeight="15" x14ac:dyDescent="0.25"/>
  <cols>
    <col min="1" max="1" width="21.85546875" customWidth="1"/>
    <col min="2" max="2" width="22.42578125" customWidth="1"/>
    <col min="3" max="3" width="15.140625" customWidth="1"/>
    <col min="4" max="4" width="13" customWidth="1"/>
  </cols>
  <sheetData>
    <row r="2" spans="1:4" ht="26.25" x14ac:dyDescent="0.4">
      <c r="A2" s="1" t="s">
        <v>41</v>
      </c>
    </row>
    <row r="4" spans="1:4" ht="30" x14ac:dyDescent="0.25">
      <c r="A4" s="5" t="s">
        <v>0</v>
      </c>
      <c r="B4" s="5" t="s">
        <v>1</v>
      </c>
      <c r="C4" s="5" t="s">
        <v>2</v>
      </c>
      <c r="D4" s="5" t="s">
        <v>3</v>
      </c>
    </row>
    <row r="5" spans="1:4" x14ac:dyDescent="0.25">
      <c r="A5" s="4" t="s">
        <v>4</v>
      </c>
      <c r="B5" s="4" t="s">
        <v>5</v>
      </c>
      <c r="C5" s="4" t="s">
        <v>6</v>
      </c>
      <c r="D5" s="4">
        <v>250</v>
      </c>
    </row>
    <row r="6" spans="1:4" x14ac:dyDescent="0.25">
      <c r="A6" s="4" t="s">
        <v>7</v>
      </c>
      <c r="B6" s="4" t="s">
        <v>8</v>
      </c>
      <c r="C6" s="4" t="s">
        <v>6</v>
      </c>
      <c r="D6" s="4">
        <v>180</v>
      </c>
    </row>
    <row r="7" spans="1:4" x14ac:dyDescent="0.25">
      <c r="A7" s="4" t="s">
        <v>9</v>
      </c>
      <c r="B7" s="4" t="s">
        <v>10</v>
      </c>
      <c r="C7" s="4" t="s">
        <v>11</v>
      </c>
      <c r="D7" s="4">
        <v>350</v>
      </c>
    </row>
    <row r="8" spans="1:4" ht="30" x14ac:dyDescent="0.25">
      <c r="A8" s="4" t="s">
        <v>12</v>
      </c>
      <c r="B8" s="4" t="s">
        <v>13</v>
      </c>
      <c r="C8" s="4" t="s">
        <v>11</v>
      </c>
      <c r="D8" s="4">
        <v>450</v>
      </c>
    </row>
    <row r="9" spans="1:4" x14ac:dyDescent="0.25">
      <c r="A9" s="4" t="s">
        <v>14</v>
      </c>
      <c r="B9" s="4" t="s">
        <v>15</v>
      </c>
      <c r="C9" s="4" t="s">
        <v>6</v>
      </c>
      <c r="D9" s="4">
        <v>275</v>
      </c>
    </row>
    <row r="10" spans="1:4" x14ac:dyDescent="0.25">
      <c r="A10" s="4" t="s">
        <v>16</v>
      </c>
      <c r="B10" s="4" t="s">
        <v>17</v>
      </c>
      <c r="C10" s="4" t="s">
        <v>18</v>
      </c>
      <c r="D10" s="4">
        <v>90</v>
      </c>
    </row>
    <row r="11" spans="1:4" x14ac:dyDescent="0.25">
      <c r="A11" s="4" t="s">
        <v>19</v>
      </c>
      <c r="B11" s="4" t="s">
        <v>20</v>
      </c>
      <c r="C11" s="4" t="s">
        <v>6</v>
      </c>
      <c r="D11" s="4">
        <v>320</v>
      </c>
    </row>
    <row r="12" spans="1:4" x14ac:dyDescent="0.25">
      <c r="A12" s="4" t="s">
        <v>21</v>
      </c>
      <c r="B12" s="4" t="s">
        <v>22</v>
      </c>
      <c r="C12" s="4" t="s">
        <v>18</v>
      </c>
      <c r="D12" s="4">
        <v>25</v>
      </c>
    </row>
    <row r="13" spans="1:4" x14ac:dyDescent="0.25">
      <c r="A13" s="4" t="s">
        <v>23</v>
      </c>
      <c r="B13" s="4" t="s">
        <v>24</v>
      </c>
      <c r="C13" s="4" t="s">
        <v>6</v>
      </c>
      <c r="D13" s="4">
        <v>300</v>
      </c>
    </row>
    <row r="14" spans="1:4" x14ac:dyDescent="0.25">
      <c r="A14" s="4" t="s">
        <v>25</v>
      </c>
      <c r="B14" s="4" t="s">
        <v>26</v>
      </c>
      <c r="C14" s="4" t="s">
        <v>18</v>
      </c>
      <c r="D14" s="4">
        <v>110</v>
      </c>
    </row>
    <row r="21" spans="1:1" ht="23.25" x14ac:dyDescent="0.25">
      <c r="A21" s="8" t="s">
        <v>42</v>
      </c>
    </row>
    <row r="23" spans="1:1" x14ac:dyDescent="0.25">
      <c r="A23" t="s">
        <v>43</v>
      </c>
    </row>
    <row r="25" spans="1:1" x14ac:dyDescent="0.25">
      <c r="A25" t="s">
        <v>44</v>
      </c>
    </row>
    <row r="26" spans="1:1" x14ac:dyDescent="0.25">
      <c r="A26" s="9"/>
    </row>
    <row r="27" spans="1:1" x14ac:dyDescent="0.25">
      <c r="A27" s="9" t="s">
        <v>45</v>
      </c>
    </row>
    <row r="28" spans="1:1" x14ac:dyDescent="0.25">
      <c r="A28" s="10"/>
    </row>
    <row r="29" spans="1:1" x14ac:dyDescent="0.25">
      <c r="A29" s="10" t="s">
        <v>1</v>
      </c>
    </row>
    <row r="30" spans="1:1" x14ac:dyDescent="0.25">
      <c r="A30" s="10" t="s">
        <v>46</v>
      </c>
    </row>
    <row r="31" spans="1:1" x14ac:dyDescent="0.25">
      <c r="A31" s="10" t="s">
        <v>47</v>
      </c>
    </row>
    <row r="32" spans="1:1" x14ac:dyDescent="0.25">
      <c r="A32" s="10" t="s">
        <v>48</v>
      </c>
    </row>
    <row r="33" spans="1:1" x14ac:dyDescent="0.25">
      <c r="A33" s="10" t="s">
        <v>49</v>
      </c>
    </row>
    <row r="35" spans="1:1" x14ac:dyDescent="0.25">
      <c r="A35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B92A-F946-4DA3-B16C-DE64DCCDACA7}">
  <dimension ref="A18:M67"/>
  <sheetViews>
    <sheetView topLeftCell="A37" workbookViewId="0">
      <selection activeCell="A19" sqref="A19"/>
    </sheetView>
  </sheetViews>
  <sheetFormatPr defaultRowHeight="15" x14ac:dyDescent="0.25"/>
  <cols>
    <col min="1" max="5" width="19.7109375" customWidth="1"/>
    <col min="6" max="8" width="27.140625" customWidth="1"/>
    <col min="9" max="9" width="24.140625" bestFit="1" customWidth="1"/>
    <col min="10" max="11" width="27.140625" customWidth="1"/>
  </cols>
  <sheetData>
    <row r="18" spans="1:13" ht="60" x14ac:dyDescent="0.25">
      <c r="A18" s="5" t="s">
        <v>0</v>
      </c>
      <c r="B18" s="5" t="s">
        <v>1</v>
      </c>
      <c r="C18" s="5" t="s">
        <v>2</v>
      </c>
      <c r="D18" s="5" t="s">
        <v>3</v>
      </c>
      <c r="E18" s="5" t="s">
        <v>27</v>
      </c>
      <c r="F18" s="5" t="s">
        <v>28</v>
      </c>
      <c r="G18" s="5" t="s">
        <v>29</v>
      </c>
      <c r="H18" s="5" t="s">
        <v>30</v>
      </c>
      <c r="I18" s="5" t="s">
        <v>31</v>
      </c>
      <c r="J18" s="5" t="s">
        <v>32</v>
      </c>
      <c r="K18" s="5" t="s">
        <v>62</v>
      </c>
      <c r="L18" s="5" t="s">
        <v>63</v>
      </c>
      <c r="M18" s="5" t="s">
        <v>64</v>
      </c>
    </row>
    <row r="19" spans="1:13" x14ac:dyDescent="0.25">
      <c r="A19" s="6" t="s">
        <v>4</v>
      </c>
      <c r="B19" s="7" t="str">
        <f>INDEX('Product Master '!$B$5:$B$14,MATCH('Product Master '!A5,'Product Master '!$A$5:$A$14,0))</f>
        <v>Shade Net</v>
      </c>
      <c r="C19" s="7" t="str">
        <f>INDEX('Product Master '!$C$5:$C$14,MATCH('Product Master '!A5,'Product Master '!$A$5:$A$14,0))</f>
        <v>Net</v>
      </c>
      <c r="D19" s="7">
        <f>INDEX('Product Master '!$D$5:$D$14,MATCH(Inventory!A19,Inventory!$A$19:$A$23,0))</f>
        <v>250</v>
      </c>
      <c r="E19" s="6">
        <v>100</v>
      </c>
      <c r="F19" s="6">
        <v>50</v>
      </c>
      <c r="G19" s="6">
        <v>80</v>
      </c>
      <c r="H19" s="7">
        <f>E19+F19-G19</f>
        <v>70</v>
      </c>
      <c r="I19" s="7">
        <f>D19*H19</f>
        <v>17500</v>
      </c>
      <c r="J19" s="7" t="str" cm="1">
        <f t="array" ref="J19">_xlfn.IFS(H19&gt;=100,"Good Stock",H19&gt;=50,"Normal Stock",H19&gt;=1,"Low Stock",H19=0,"Out of Stock")</f>
        <v>Normal Stock</v>
      </c>
      <c r="K19" s="7">
        <f>COUNTA(A19:A23)</f>
        <v>5</v>
      </c>
      <c r="L19" s="7">
        <f>SUM(H19:H23)</f>
        <v>320</v>
      </c>
      <c r="M19" s="7">
        <f>SUM(I19:I23)</f>
        <v>90400</v>
      </c>
    </row>
    <row r="20" spans="1:13" x14ac:dyDescent="0.25">
      <c r="A20" s="6" t="s">
        <v>7</v>
      </c>
      <c r="B20" s="7" t="str">
        <f>INDEX('Product Master '!$B$5:$B$14,MATCH('Product Master '!A6,'Product Master '!$A$5:$A$14,0))</f>
        <v>Bird Net</v>
      </c>
      <c r="C20" s="7" t="str">
        <f>INDEX('Product Master '!$C$5:$C$14,MATCH('Product Master '!A6,'Product Master '!$A$5:$A$14,0))</f>
        <v>Net</v>
      </c>
      <c r="D20" s="7">
        <f>INDEX('Product Master '!$D$5:$D$14,MATCH(Inventory!A20,Inventory!$A$19:$A$23,0))</f>
        <v>180</v>
      </c>
      <c r="E20" s="6">
        <v>120</v>
      </c>
      <c r="F20" s="6">
        <v>30</v>
      </c>
      <c r="G20" s="6">
        <v>70</v>
      </c>
      <c r="H20" s="7">
        <f t="shared" ref="H20:H23" si="0">E20+F20-G20</f>
        <v>80</v>
      </c>
      <c r="I20" s="7">
        <f t="shared" ref="I20:I23" si="1">D20*H20</f>
        <v>14400</v>
      </c>
      <c r="J20" s="7" t="str" cm="1">
        <f t="array" ref="J20">_xlfn.IFS(H20&gt;=100,"Good Stock",H20&gt;=50,"Normal Stock",H20&gt;=1,"Low Stock",H20=0,"Out of Stock")</f>
        <v>Normal Stock</v>
      </c>
      <c r="K20" s="7">
        <f>COUNTA(A56:A60)</f>
        <v>4</v>
      </c>
      <c r="L20" s="7">
        <f t="shared" ref="L20:L23" si="2">SUM(H20:H24)</f>
        <v>250</v>
      </c>
      <c r="M20" s="7">
        <f t="shared" ref="M20:M23" si="3">SUM(I20:I24)</f>
        <v>72900</v>
      </c>
    </row>
    <row r="21" spans="1:13" x14ac:dyDescent="0.25">
      <c r="A21" s="6" t="s">
        <v>9</v>
      </c>
      <c r="B21" s="7" t="str">
        <f>INDEX('Product Master '!$B$5:$B$14,MATCH('Product Master '!A7,'Product Master '!$A$5:$A$14,0))</f>
        <v>Mulch Film</v>
      </c>
      <c r="C21" s="7" t="str">
        <f>INDEX('Product Master '!$C$5:$C$14,MATCH('Product Master '!A7,'Product Master '!$A$5:$A$14,0))</f>
        <v>Film</v>
      </c>
      <c r="D21" s="7">
        <f>INDEX('Product Master '!$D$5:$D$14,MATCH(Inventory!A21,Inventory!$A$19:$A$23,0))</f>
        <v>350</v>
      </c>
      <c r="E21" s="6">
        <v>80</v>
      </c>
      <c r="F21" s="6">
        <v>20</v>
      </c>
      <c r="G21" s="6">
        <v>60</v>
      </c>
      <c r="H21" s="7">
        <f t="shared" si="0"/>
        <v>40</v>
      </c>
      <c r="I21" s="7">
        <f t="shared" si="1"/>
        <v>14000</v>
      </c>
      <c r="J21" s="7" t="str" cm="1">
        <f t="array" ref="J21">_xlfn.IFS(H21&gt;=100,"Good Stock",H21&gt;=50,"Normal Stock",H21&gt;=1,"Low Stock",H21=0,"Out of Stock")</f>
        <v>Low Stock</v>
      </c>
      <c r="K21" s="7">
        <f>COUNTA(A57:A61)</f>
        <v>3</v>
      </c>
      <c r="L21" s="7">
        <f t="shared" si="2"/>
        <v>170</v>
      </c>
      <c r="M21" s="7">
        <f t="shared" si="3"/>
        <v>58500</v>
      </c>
    </row>
    <row r="22" spans="1:13" x14ac:dyDescent="0.25">
      <c r="A22" s="6" t="s">
        <v>12</v>
      </c>
      <c r="B22" s="7" t="str">
        <f>INDEX('Product Master '!$B$5:$B$14,MATCH('Product Master '!A8,'Product Master '!$A$5:$A$14,0))</f>
        <v>Greenhouse Film</v>
      </c>
      <c r="C22" s="7" t="str">
        <f>INDEX('Product Master '!$C$5:$C$14,MATCH('Product Master '!A8,'Product Master '!$A$5:$A$14,0))</f>
        <v>Film</v>
      </c>
      <c r="D22" s="7">
        <f>INDEX('Product Master '!$D$5:$D$14,MATCH(Inventory!A22,Inventory!$A$19:$A$23,0))</f>
        <v>450</v>
      </c>
      <c r="E22" s="6">
        <v>60</v>
      </c>
      <c r="F22" s="6">
        <v>40</v>
      </c>
      <c r="G22" s="6">
        <v>50</v>
      </c>
      <c r="H22" s="7">
        <f t="shared" si="0"/>
        <v>50</v>
      </c>
      <c r="I22" s="7">
        <f t="shared" si="1"/>
        <v>22500</v>
      </c>
      <c r="J22" s="7" t="str" cm="1">
        <f t="array" ref="J22">_xlfn.IFS(H22&gt;=100,"Good Stock",H22&gt;=50,"Normal Stock",H22&gt;=1,"Low Stock",H22=0,"Out of Stock")</f>
        <v>Normal Stock</v>
      </c>
      <c r="K22" s="7">
        <f>COUNTA(A58:A62)</f>
        <v>2</v>
      </c>
      <c r="L22" s="7">
        <f t="shared" si="2"/>
        <v>130</v>
      </c>
      <c r="M22" s="7">
        <f t="shared" si="3"/>
        <v>44500</v>
      </c>
    </row>
    <row r="23" spans="1:13" x14ac:dyDescent="0.25">
      <c r="A23" s="6" t="s">
        <v>14</v>
      </c>
      <c r="B23" s="7" t="str">
        <f>INDEX('Product Master '!$B$5:$B$14,MATCH('Product Master '!A9,'Product Master '!$A$5:$A$14,0))</f>
        <v>Insect Net</v>
      </c>
      <c r="C23" s="7" t="str">
        <f>INDEX('Product Master '!$C$5:$C$14,MATCH('Product Master '!A9,'Product Master '!$A$5:$A$14,0))</f>
        <v>Net</v>
      </c>
      <c r="D23" s="7">
        <f>INDEX('Product Master '!$D$5:$D$14,MATCH(Inventory!A23,Inventory!$A$19:$A$23,0))</f>
        <v>275</v>
      </c>
      <c r="E23" s="6">
        <v>150</v>
      </c>
      <c r="F23" s="6">
        <v>50</v>
      </c>
      <c r="G23" s="6">
        <v>120</v>
      </c>
      <c r="H23" s="7">
        <f t="shared" si="0"/>
        <v>80</v>
      </c>
      <c r="I23" s="7">
        <f t="shared" si="1"/>
        <v>22000</v>
      </c>
      <c r="J23" s="7" t="str" cm="1">
        <f t="array" ref="J23">_xlfn.IFS(H23&gt;=100,"Good Stock",H23&gt;=50,"Normal Stock",H23&gt;=1,"Low Stock",H23=0,"Out of Stock")</f>
        <v>Normal Stock</v>
      </c>
      <c r="K23" s="7">
        <f>COUNTA(A59:A63)</f>
        <v>1</v>
      </c>
      <c r="L23" s="7">
        <f t="shared" si="2"/>
        <v>80</v>
      </c>
      <c r="M23" s="7">
        <f t="shared" si="3"/>
        <v>22000</v>
      </c>
    </row>
    <row r="28" spans="1:13" x14ac:dyDescent="0.25">
      <c r="G28" s="2" t="s">
        <v>33</v>
      </c>
      <c r="H28" s="2" t="s">
        <v>32</v>
      </c>
    </row>
    <row r="29" spans="1:13" x14ac:dyDescent="0.25">
      <c r="G29" s="3" t="s">
        <v>34</v>
      </c>
      <c r="H29" s="3" t="s">
        <v>35</v>
      </c>
    </row>
    <row r="30" spans="1:13" x14ac:dyDescent="0.25">
      <c r="G30" s="3" t="s">
        <v>36</v>
      </c>
      <c r="H30" s="3" t="s">
        <v>37</v>
      </c>
    </row>
    <row r="31" spans="1:13" x14ac:dyDescent="0.25">
      <c r="G31" s="3" t="s">
        <v>38</v>
      </c>
      <c r="H31" s="3" t="s">
        <v>39</v>
      </c>
    </row>
    <row r="32" spans="1:13" x14ac:dyDescent="0.25">
      <c r="G32" s="3">
        <v>0</v>
      </c>
      <c r="H32" s="3" t="s">
        <v>40</v>
      </c>
    </row>
    <row r="34" spans="1:7" x14ac:dyDescent="0.25">
      <c r="D34" s="2"/>
      <c r="E34" s="2"/>
      <c r="F34" s="2"/>
      <c r="G34" s="2"/>
    </row>
    <row r="35" spans="1:7" x14ac:dyDescent="0.25">
      <c r="D35" s="3"/>
      <c r="E35" s="3"/>
      <c r="F35" s="3"/>
      <c r="G35" s="3"/>
    </row>
    <row r="36" spans="1:7" x14ac:dyDescent="0.25">
      <c r="D36" s="3"/>
      <c r="E36" s="3"/>
      <c r="F36" s="3"/>
      <c r="G36" s="3"/>
    </row>
    <row r="37" spans="1:7" ht="31.5" x14ac:dyDescent="0.25">
      <c r="A37" s="11" t="s">
        <v>51</v>
      </c>
      <c r="D37" s="3"/>
      <c r="E37" s="3"/>
      <c r="F37" s="3"/>
      <c r="G37" s="3"/>
    </row>
    <row r="38" spans="1:7" x14ac:dyDescent="0.25">
      <c r="D38" s="3"/>
      <c r="E38" s="3"/>
      <c r="F38" s="3"/>
      <c r="G38" s="3"/>
    </row>
    <row r="39" spans="1:7" x14ac:dyDescent="0.25">
      <c r="A39" t="s">
        <v>52</v>
      </c>
      <c r="D39" s="3"/>
      <c r="E39" s="3"/>
      <c r="F39" s="3"/>
      <c r="G39" s="3"/>
    </row>
    <row r="41" spans="1:7" x14ac:dyDescent="0.25">
      <c r="A41" t="s">
        <v>53</v>
      </c>
    </row>
    <row r="43" spans="1:7" x14ac:dyDescent="0.25">
      <c r="A43" t="s">
        <v>54</v>
      </c>
    </row>
    <row r="44" spans="1:7" x14ac:dyDescent="0.25">
      <c r="A44" s="9"/>
    </row>
    <row r="45" spans="1:7" x14ac:dyDescent="0.25">
      <c r="A45" s="9" t="s">
        <v>55</v>
      </c>
    </row>
    <row r="46" spans="1:7" x14ac:dyDescent="0.25">
      <c r="A46" s="10"/>
    </row>
    <row r="47" spans="1:7" x14ac:dyDescent="0.25">
      <c r="A47" s="10" t="s">
        <v>56</v>
      </c>
    </row>
    <row r="48" spans="1:7" x14ac:dyDescent="0.25">
      <c r="A48" s="10" t="s">
        <v>57</v>
      </c>
    </row>
    <row r="49" spans="1:12" x14ac:dyDescent="0.25">
      <c r="A49" s="10" t="s">
        <v>58</v>
      </c>
    </row>
    <row r="54" spans="1:12" x14ac:dyDescent="0.25">
      <c r="A54" s="5" t="s">
        <v>0</v>
      </c>
      <c r="B54" s="5" t="s">
        <v>1</v>
      </c>
      <c r="C54" s="5" t="s">
        <v>30</v>
      </c>
      <c r="D54" s="5" t="s">
        <v>32</v>
      </c>
      <c r="E54" s="5" t="s">
        <v>59</v>
      </c>
      <c r="F54" s="5" t="s">
        <v>60</v>
      </c>
      <c r="G54" s="5" t="s">
        <v>61</v>
      </c>
    </row>
    <row r="55" spans="1:12" x14ac:dyDescent="0.25">
      <c r="A55" s="4" t="s">
        <v>4</v>
      </c>
      <c r="B55" s="7" t="s">
        <v>5</v>
      </c>
      <c r="C55" s="7">
        <v>70</v>
      </c>
      <c r="D55" s="7" t="str" cm="1">
        <f t="array" ref="D55">_xlfn.IFS(C55&gt;=100,"Good Stock",C55&gt;=50,"Normal Stock",C55&gt;=1,"Low Stock",C55=0,"Out of Stock")</f>
        <v>Normal Stock</v>
      </c>
      <c r="E55" s="7">
        <v>50</v>
      </c>
      <c r="F55" s="6" t="str">
        <f>IF(C55&lt;=E55,"Order Now","Stock Ok")</f>
        <v>Stock Ok</v>
      </c>
      <c r="G55" s="7">
        <f>IF(C55&lt;100,100-C55,"0")</f>
        <v>30</v>
      </c>
    </row>
    <row r="56" spans="1:12" x14ac:dyDescent="0.25">
      <c r="A56" s="4" t="s">
        <v>7</v>
      </c>
      <c r="B56" s="7" t="s">
        <v>8</v>
      </c>
      <c r="C56" s="7">
        <v>80</v>
      </c>
      <c r="D56" s="7" t="str" cm="1">
        <f t="array" ref="D56">_xlfn.IFS(C56&gt;=100,"Good Stock",C56&gt;=50,"Normal Stock",C56&gt;=1,"Low Stock",C56=0,"Out of Stock")</f>
        <v>Normal Stock</v>
      </c>
      <c r="E56" s="7">
        <v>50</v>
      </c>
      <c r="F56" s="6" t="str">
        <f t="shared" ref="F56:F59" si="4">IF(C56&lt;=E56,"Order Now","Stock Ok")</f>
        <v>Stock Ok</v>
      </c>
      <c r="G56" s="7">
        <f t="shared" ref="G56:G59" si="5">IF(C56&lt;100,100-C56,"0")</f>
        <v>20</v>
      </c>
    </row>
    <row r="57" spans="1:12" x14ac:dyDescent="0.25">
      <c r="A57" s="4" t="s">
        <v>9</v>
      </c>
      <c r="B57" s="7" t="s">
        <v>10</v>
      </c>
      <c r="C57" s="7">
        <v>40</v>
      </c>
      <c r="D57" s="7" t="str" cm="1">
        <f t="array" ref="D57">_xlfn.IFS(C57&gt;=100,"Good Stock",C57&gt;=50,"Normal Stock",C57&gt;=1,"Low Stock",C57=0,"Out of Stock")</f>
        <v>Low Stock</v>
      </c>
      <c r="E57" s="7">
        <v>50</v>
      </c>
      <c r="F57" s="6" t="str">
        <f t="shared" si="4"/>
        <v>Order Now</v>
      </c>
      <c r="G57" s="7">
        <f t="shared" si="5"/>
        <v>60</v>
      </c>
    </row>
    <row r="58" spans="1:12" x14ac:dyDescent="0.25">
      <c r="A58" s="4" t="s">
        <v>12</v>
      </c>
      <c r="B58" s="7" t="s">
        <v>13</v>
      </c>
      <c r="C58" s="7">
        <v>50</v>
      </c>
      <c r="D58" s="7" t="str" cm="1">
        <f t="array" ref="D58">_xlfn.IFS(C58&gt;=100,"Good Stock",C58&gt;=50,"Normal Stock",C58&gt;=1,"Low Stock",C58=0,"Out of Stock")</f>
        <v>Normal Stock</v>
      </c>
      <c r="E58" s="7">
        <v>50</v>
      </c>
      <c r="F58" s="6" t="str">
        <f t="shared" si="4"/>
        <v>Order Now</v>
      </c>
      <c r="G58" s="7">
        <f t="shared" si="5"/>
        <v>50</v>
      </c>
    </row>
    <row r="59" spans="1:12" x14ac:dyDescent="0.25">
      <c r="A59" s="4" t="s">
        <v>14</v>
      </c>
      <c r="B59" s="7" t="s">
        <v>15</v>
      </c>
      <c r="C59" s="7">
        <v>80</v>
      </c>
      <c r="D59" s="7" t="str" cm="1">
        <f t="array" ref="D59">_xlfn.IFS(C59&gt;=100,"Good Stock",C59&gt;=50,"Normal Stock",C59&gt;=1,"Low Stock",C59=0,"Out of Stock")</f>
        <v>Normal Stock</v>
      </c>
      <c r="E59" s="7">
        <v>50</v>
      </c>
      <c r="F59" s="6" t="str">
        <f t="shared" si="4"/>
        <v>Stock Ok</v>
      </c>
      <c r="G59" s="7">
        <f t="shared" si="5"/>
        <v>20</v>
      </c>
    </row>
    <row r="62" spans="1:12" x14ac:dyDescent="0.25">
      <c r="J62" s="2"/>
      <c r="K62" s="2"/>
      <c r="L62" s="2"/>
    </row>
    <row r="63" spans="1:12" x14ac:dyDescent="0.25">
      <c r="J63" s="3"/>
      <c r="K63" s="3"/>
      <c r="L63" s="3"/>
    </row>
    <row r="64" spans="1:12" x14ac:dyDescent="0.25">
      <c r="J64" s="3"/>
      <c r="K64" s="3"/>
      <c r="L64" s="3"/>
    </row>
    <row r="65" spans="10:12" x14ac:dyDescent="0.25">
      <c r="J65" s="3"/>
      <c r="K65" s="3"/>
      <c r="L65" s="3"/>
    </row>
    <row r="66" spans="10:12" x14ac:dyDescent="0.25">
      <c r="J66" s="3"/>
      <c r="K66" s="3"/>
      <c r="L66" s="3"/>
    </row>
    <row r="67" spans="10:12" x14ac:dyDescent="0.25">
      <c r="J67" s="3"/>
      <c r="K67" s="3"/>
      <c r="L6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5863-C5F2-4D2D-8C57-CE16E1DABE1F}">
  <dimension ref="A5:K25"/>
  <sheetViews>
    <sheetView tabSelected="1" workbookViewId="0">
      <selection activeCell="H17" sqref="H17"/>
    </sheetView>
  </sheetViews>
  <sheetFormatPr defaultRowHeight="15" x14ac:dyDescent="0.25"/>
  <cols>
    <col min="1" max="1" width="22.28515625" customWidth="1"/>
    <col min="2" max="2" width="20.28515625" customWidth="1"/>
    <col min="3" max="3" width="15.5703125" customWidth="1"/>
    <col min="4" max="4" width="18.5703125" customWidth="1"/>
    <col min="5" max="5" width="21.5703125" customWidth="1"/>
    <col min="6" max="6" width="15.28515625" customWidth="1"/>
    <col min="8" max="9" width="12.85546875" customWidth="1"/>
    <col min="10" max="10" width="13" customWidth="1"/>
    <col min="11" max="11" width="12.140625" customWidth="1"/>
  </cols>
  <sheetData>
    <row r="5" spans="1:11" ht="26.25" x14ac:dyDescent="0.4">
      <c r="A5" s="1" t="s">
        <v>65</v>
      </c>
    </row>
    <row r="10" spans="1:11" ht="30" x14ac:dyDescent="0.25">
      <c r="A10" s="5" t="s">
        <v>0</v>
      </c>
      <c r="B10" s="5" t="s">
        <v>1</v>
      </c>
      <c r="C10" s="5" t="s">
        <v>2</v>
      </c>
      <c r="D10" s="5" t="s">
        <v>3</v>
      </c>
      <c r="E10" s="5" t="s">
        <v>27</v>
      </c>
      <c r="F10" s="5" t="s">
        <v>28</v>
      </c>
      <c r="G10" s="5" t="s">
        <v>29</v>
      </c>
      <c r="H10" s="5" t="s">
        <v>30</v>
      </c>
      <c r="I10" s="5" t="s">
        <v>31</v>
      </c>
      <c r="J10" s="5" t="s">
        <v>59</v>
      </c>
      <c r="K10" s="5" t="s">
        <v>32</v>
      </c>
    </row>
    <row r="11" spans="1:11" x14ac:dyDescent="0.25">
      <c r="A11" s="6" t="s">
        <v>4</v>
      </c>
      <c r="B11" s="6" t="s">
        <v>5</v>
      </c>
      <c r="C11" s="6" t="s">
        <v>6</v>
      </c>
      <c r="D11" s="6">
        <v>250</v>
      </c>
      <c r="E11" s="6">
        <v>100</v>
      </c>
      <c r="F11" s="6">
        <v>50</v>
      </c>
      <c r="G11" s="7">
        <v>80</v>
      </c>
      <c r="H11" s="7">
        <v>70</v>
      </c>
      <c r="I11" s="6">
        <v>17500</v>
      </c>
      <c r="J11" s="6">
        <v>50</v>
      </c>
      <c r="K11" s="6" t="s">
        <v>66</v>
      </c>
    </row>
    <row r="12" spans="1:11" x14ac:dyDescent="0.25">
      <c r="A12" s="6" t="s">
        <v>7</v>
      </c>
      <c r="B12" s="6" t="s">
        <v>8</v>
      </c>
      <c r="C12" s="6" t="s">
        <v>6</v>
      </c>
      <c r="D12" s="6">
        <v>180</v>
      </c>
      <c r="E12" s="6">
        <v>120</v>
      </c>
      <c r="F12" s="6">
        <v>30</v>
      </c>
      <c r="G12" s="7">
        <v>130</v>
      </c>
      <c r="H12" s="7">
        <v>20</v>
      </c>
      <c r="I12" s="6">
        <v>3600</v>
      </c>
      <c r="J12" s="6">
        <v>50</v>
      </c>
      <c r="K12" s="6" t="s">
        <v>67</v>
      </c>
    </row>
    <row r="13" spans="1:11" x14ac:dyDescent="0.25">
      <c r="A13" s="6" t="s">
        <v>9</v>
      </c>
      <c r="B13" s="6" t="s">
        <v>10</v>
      </c>
      <c r="C13" s="6" t="s">
        <v>11</v>
      </c>
      <c r="D13" s="6">
        <v>350</v>
      </c>
      <c r="E13" s="6">
        <v>80</v>
      </c>
      <c r="F13" s="6">
        <v>20</v>
      </c>
      <c r="G13" s="7">
        <v>40</v>
      </c>
      <c r="H13" s="7">
        <v>60</v>
      </c>
      <c r="I13" s="6">
        <v>21000</v>
      </c>
      <c r="J13" s="6">
        <v>50</v>
      </c>
      <c r="K13" s="6" t="s">
        <v>66</v>
      </c>
    </row>
    <row r="14" spans="1:11" x14ac:dyDescent="0.25">
      <c r="A14" s="6" t="s">
        <v>12</v>
      </c>
      <c r="B14" s="6" t="s">
        <v>13</v>
      </c>
      <c r="C14" s="6" t="s">
        <v>11</v>
      </c>
      <c r="D14" s="6">
        <v>450</v>
      </c>
      <c r="E14" s="6">
        <v>60</v>
      </c>
      <c r="F14" s="6">
        <v>40</v>
      </c>
      <c r="G14" s="7">
        <v>100</v>
      </c>
      <c r="H14" s="7">
        <v>0</v>
      </c>
      <c r="I14" s="6">
        <v>0</v>
      </c>
      <c r="J14" s="6">
        <v>50</v>
      </c>
      <c r="K14" s="6" t="s">
        <v>67</v>
      </c>
    </row>
    <row r="15" spans="1:11" x14ac:dyDescent="0.25">
      <c r="A15" s="6" t="s">
        <v>14</v>
      </c>
      <c r="B15" s="6" t="s">
        <v>15</v>
      </c>
      <c r="C15" s="6" t="s">
        <v>6</v>
      </c>
      <c r="D15" s="6">
        <v>275</v>
      </c>
      <c r="E15" s="6">
        <v>150</v>
      </c>
      <c r="F15" s="6">
        <v>50</v>
      </c>
      <c r="G15" s="7">
        <v>120</v>
      </c>
      <c r="H15" s="7">
        <v>80</v>
      </c>
      <c r="I15" s="6">
        <v>22000</v>
      </c>
      <c r="J15" s="6">
        <v>50</v>
      </c>
      <c r="K15" s="6" t="s">
        <v>66</v>
      </c>
    </row>
    <row r="16" spans="1:11" x14ac:dyDescent="0.25">
      <c r="A16" s="6" t="s">
        <v>16</v>
      </c>
      <c r="B16" s="6" t="s">
        <v>17</v>
      </c>
      <c r="C16" s="6" t="s">
        <v>18</v>
      </c>
      <c r="D16" s="6">
        <v>90</v>
      </c>
      <c r="E16" s="6">
        <v>300</v>
      </c>
      <c r="F16" s="6">
        <v>100</v>
      </c>
      <c r="G16" s="7">
        <v>350</v>
      </c>
      <c r="H16" s="7">
        <v>50</v>
      </c>
      <c r="I16" s="6">
        <v>4500</v>
      </c>
      <c r="J16" s="6">
        <v>50</v>
      </c>
      <c r="K16" s="6" t="s">
        <v>67</v>
      </c>
    </row>
    <row r="17" spans="1:11" x14ac:dyDescent="0.25">
      <c r="A17" s="6" t="s">
        <v>19</v>
      </c>
      <c r="B17" s="6" t="s">
        <v>20</v>
      </c>
      <c r="C17" s="6" t="s">
        <v>6</v>
      </c>
      <c r="D17" s="6">
        <v>320</v>
      </c>
      <c r="E17" s="6">
        <v>70</v>
      </c>
      <c r="F17" s="6">
        <v>30</v>
      </c>
      <c r="G17" s="7">
        <v>20</v>
      </c>
      <c r="H17" s="7">
        <v>80</v>
      </c>
      <c r="I17" s="6">
        <v>25600</v>
      </c>
      <c r="J17" s="6">
        <v>50</v>
      </c>
      <c r="K17" s="6" t="s">
        <v>66</v>
      </c>
    </row>
    <row r="18" spans="1:11" x14ac:dyDescent="0.25">
      <c r="A18" s="6" t="s">
        <v>21</v>
      </c>
      <c r="B18" s="6" t="s">
        <v>22</v>
      </c>
      <c r="C18" s="6" t="s">
        <v>18</v>
      </c>
      <c r="D18" s="6">
        <v>25</v>
      </c>
      <c r="E18" s="6">
        <v>500</v>
      </c>
      <c r="F18" s="6">
        <v>200</v>
      </c>
      <c r="G18" s="7">
        <v>650</v>
      </c>
      <c r="H18" s="7">
        <v>50</v>
      </c>
      <c r="I18" s="6">
        <v>1250</v>
      </c>
      <c r="J18" s="6">
        <v>50</v>
      </c>
      <c r="K18" s="6" t="s">
        <v>67</v>
      </c>
    </row>
    <row r="25" spans="1:11" x14ac:dyDescent="0.25">
      <c r="D25" s="12"/>
    </row>
  </sheetData>
  <conditionalFormatting sqref="G11:G18">
    <cfRule type="cellIs" dxfId="0" priority="1" operator="lessThan">
      <formula>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Master </vt:lpstr>
      <vt:lpstr>Inventory</vt:lpstr>
      <vt:lpstr>Conditional Formatting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2026-07-17T05:48:25Z</dcterms:created>
  <dcterms:modified xsi:type="dcterms:W3CDTF">2026-07-20T09:51:44Z</dcterms:modified>
</cp:coreProperties>
</file>